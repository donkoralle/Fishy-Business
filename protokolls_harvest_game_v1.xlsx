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cfhkrems-my.sharepoint.com/personal/karl_hoeferl_fh-krems_ac_at/Documents/Dokumente/2___Lehre/WS 25-26/IL Introduction to Circular Economy/1___Harvest_Game/"/>
    </mc:Choice>
  </mc:AlternateContent>
  <xr:revisionPtr revIDLastSave="356" documentId="8_{B73857BB-DD3E-46C7-9BEE-316F40E31544}" xr6:coauthVersionLast="47" xr6:coauthVersionMax="47" xr10:uidLastSave="{75AADC6E-7AFC-4EDB-8F32-2DF10C61D058}"/>
  <bookViews>
    <workbookView xWindow="-110" yWindow="-110" windowWidth="38620" windowHeight="21820" xr2:uid="{27BF98DE-FB80-4308-9710-F5B28F998267}"/>
  </bookViews>
  <sheets>
    <sheet name="Ocean Table Round 1" sheetId="2" r:id="rId1"/>
    <sheet name="Ocean Table Round 2" sheetId="4" r:id="rId2"/>
    <sheet name="Team Table" sheetId="1" r:id="rId3"/>
    <sheet name="LUT Regeneration" sheetId="3" r:id="rId4"/>
  </sheets>
  <definedNames>
    <definedName name="_xlnm.Print_Area" localSheetId="3">'LUT Regeneration'!$B$2:$M$53</definedName>
    <definedName name="_xlnm.Print_Area" localSheetId="2">'Team Table'!$A$1:$F$14</definedName>
    <definedName name="lut_regeneration">'LUT Regeneration'!$B$3:$C$53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7" i="2"/>
  <c r="G7" i="2" s="1"/>
  <c r="H7" i="2" s="1"/>
  <c r="E19" i="4"/>
  <c r="E21" i="4" s="1"/>
  <c r="E18" i="4"/>
  <c r="E22" i="4" s="1"/>
  <c r="F16" i="4"/>
  <c r="F14" i="4"/>
  <c r="F13" i="4"/>
  <c r="F12" i="4"/>
  <c r="F11" i="4"/>
  <c r="F9" i="4"/>
  <c r="F8" i="4"/>
  <c r="E21" i="2"/>
  <c r="E19" i="2"/>
  <c r="E18" i="2"/>
  <c r="E22" i="2" s="1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G16" i="4" l="1"/>
  <c r="H16" i="4" s="1"/>
  <c r="F15" i="4"/>
  <c r="G15" i="4"/>
  <c r="G14" i="4"/>
  <c r="H14" i="4" s="1"/>
  <c r="C15" i="4" s="1"/>
  <c r="G13" i="4"/>
  <c r="H13" i="4" s="1"/>
  <c r="C14" i="4" s="1"/>
  <c r="G12" i="4"/>
  <c r="H12" i="4" s="1"/>
  <c r="C13" i="4" s="1"/>
  <c r="G11" i="4"/>
  <c r="H11" i="4" s="1"/>
  <c r="C12" i="4" s="1"/>
  <c r="F10" i="4"/>
  <c r="G10" i="4" s="1"/>
  <c r="G9" i="4"/>
  <c r="H9" i="4" s="1"/>
  <c r="C10" i="4" s="1"/>
  <c r="G8" i="4"/>
  <c r="H8" i="4" s="1"/>
  <c r="C9" i="4" s="1"/>
  <c r="G7" i="4"/>
  <c r="H7" i="4" s="1"/>
  <c r="C8" i="4" s="1"/>
  <c r="E20" i="4"/>
  <c r="E20" i="2"/>
  <c r="C8" i="2"/>
  <c r="F8" i="2" s="1"/>
  <c r="G8" i="2" s="1"/>
  <c r="H8" i="2" s="1"/>
  <c r="H15" i="4" l="1"/>
  <c r="C16" i="4" s="1"/>
  <c r="H10" i="4"/>
  <c r="C11" i="4" s="1"/>
  <c r="C9" i="2"/>
  <c r="F9" i="2" s="1"/>
  <c r="G9" i="2" l="1"/>
  <c r="H9" i="2" s="1"/>
  <c r="C10" i="2" s="1"/>
  <c r="F10" i="2" s="1"/>
  <c r="G10" i="2" l="1"/>
  <c r="H10" i="2"/>
  <c r="C11" i="2" s="1"/>
  <c r="F11" i="2" s="1"/>
  <c r="G11" i="2" l="1"/>
  <c r="H11" i="2" s="1"/>
  <c r="C12" i="2" s="1"/>
  <c r="F12" i="2" s="1"/>
  <c r="G12" i="2" l="1"/>
  <c r="H12" i="2"/>
  <c r="C13" i="2" s="1"/>
  <c r="F13" i="2" s="1"/>
  <c r="G13" i="2" l="1"/>
  <c r="H13" i="2"/>
  <c r="C14" i="2" s="1"/>
  <c r="F14" i="2" s="1"/>
  <c r="G14" i="2" s="1"/>
  <c r="H14" i="2" s="1"/>
  <c r="C15" i="2" s="1"/>
  <c r="F15" i="2" s="1"/>
  <c r="G15" i="2" s="1"/>
  <c r="H15" i="2" s="1"/>
  <c r="C16" i="2" l="1"/>
  <c r="F16" i="2" s="1"/>
  <c r="G16" i="2" s="1"/>
  <c r="H16" i="2" s="1"/>
</calcChain>
</file>

<file path=xl/sharedStrings.xml><?xml version="1.0" encoding="utf-8"?>
<sst xmlns="http://schemas.openxmlformats.org/spreadsheetml/2006/main" count="43" uniqueCount="24">
  <si>
    <t>Round</t>
  </si>
  <si>
    <t>Fishes requested</t>
  </si>
  <si>
    <t>Team:</t>
  </si>
  <si>
    <t>n fishes regenerated</t>
  </si>
  <si>
    <t>new fish stock</t>
  </si>
  <si>
    <t>fishes 
after harvest</t>
  </si>
  <si>
    <t>Stock</t>
  </si>
  <si>
    <t>Starting stock:</t>
  </si>
  <si>
    <t>Regeneration</t>
  </si>
  <si>
    <t>Fishes 
given out</t>
  </si>
  <si>
    <t>Max. harvest:</t>
  </si>
  <si>
    <t>n rounds:</t>
  </si>
  <si>
    <t>Effektiveness:</t>
  </si>
  <si>
    <t>Realised harvest:</t>
  </si>
  <si>
    <t>avg. Harvest per group:</t>
  </si>
  <si>
    <t>n groups:</t>
  </si>
  <si>
    <t>realised avg. Harvest per group:</t>
  </si>
  <si>
    <t>👇👇👇</t>
  </si>
  <si>
    <t>Runde</t>
  </si>
  <si>
    <t>Fische angefragt</t>
  </si>
  <si>
    <t>Fische erhalten</t>
  </si>
  <si>
    <t>Fische gesamt</t>
  </si>
  <si>
    <t>(Quelle: Meadows et al., 2016:58)</t>
  </si>
  <si>
    <t>So geht’s das mit den Fischen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</si>
</sst>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8" fillId="4" borderId="0" applyNumberFormat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/>
    <xf numFmtId="0" fontId="0" fillId="0" borderId="10" xfId="0" applyBorder="1" applyAlignment="1">
      <alignment horizontal="center" vertical="center"/>
    </xf>
    <xf numFmtId="0" fontId="1" fillId="0" borderId="0" xfId="0" applyFont="1"/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4" borderId="0" xfId="1" applyFont="1" applyAlignment="1">
      <alignment horizontal="center"/>
    </xf>
  </cellXfs>
  <cellStyles count="2">
    <cellStyle name="Gut" xfId="1" builtinId="26"/>
    <cellStyle name="Standard" xfId="0" builtinId="0"/>
  </cellStyles>
  <dxfs count="9"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'Ocean Table Round 1'!$C$6</c:f>
              <c:strCache>
                <c:ptCount val="1"/>
                <c:pt idx="0">
                  <c:v>Stock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</a:ln>
              <a:effectLst/>
            </c:spPr>
          </c:marker>
          <c:xVal>
            <c:numRef>
              <c:f>'Ocean Table Round 1'!$B$7:$B$16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'Ocean Table Round 1'!$C$7:$C$16</c:f>
              <c:numCache>
                <c:formatCode>General</c:formatCode>
                <c:ptCount val="10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B-4C3A-BA54-B38DFFBE349A}"/>
            </c:ext>
          </c:extLst>
        </c:ser>
        <c:ser>
          <c:idx val="1"/>
          <c:order val="1"/>
          <c:tx>
            <c:strRef>
              <c:f>'Ocean Table Round 1'!$D$6</c:f>
              <c:strCache>
                <c:ptCount val="1"/>
                <c:pt idx="0">
                  <c:v>Fishes requested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'Ocean Table Round 1'!$B$7:$B$16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'Ocean Table Round 1'!$D$7:$D$16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B-4C3A-BA54-B38DFFBE349A}"/>
            </c:ext>
          </c:extLst>
        </c:ser>
        <c:ser>
          <c:idx val="2"/>
          <c:order val="2"/>
          <c:tx>
            <c:strRef>
              <c:f>'Ocean Table Round 1'!$E$6</c:f>
              <c:strCache>
                <c:ptCount val="1"/>
                <c:pt idx="0">
                  <c:v>Fishes 
given out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'Ocean Table Round 1'!$B$7:$B$16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'Ocean Table Round 1'!$E$7:$E$16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B-4C3A-BA54-B38DFFBE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66015"/>
        <c:axId val="366762655"/>
      </c:scatterChart>
      <c:valAx>
        <c:axId val="366766015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2000" b="1"/>
                  <a:t>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762655"/>
        <c:crosses val="autoZero"/>
        <c:crossBetween val="midCat"/>
      </c:valAx>
      <c:valAx>
        <c:axId val="3667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2400" b="1"/>
                  <a:t>Fish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76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4921013663986"/>
          <c:y val="0.87575013574714922"/>
          <c:w val="0.85214487717973364"/>
          <c:h val="0.111895211793926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'Ocean Table Round 2'!$C$6</c:f>
              <c:strCache>
                <c:ptCount val="1"/>
                <c:pt idx="0">
                  <c:v>Stock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</a:ln>
              <a:effectLst/>
            </c:spPr>
          </c:marker>
          <c:xVal>
            <c:numRef>
              <c:f>'Ocean Table Round 2'!$B$7:$B$16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'Ocean Table Round 2'!$C$7:$C$16</c:f>
              <c:numCache>
                <c:formatCode>General</c:formatCode>
                <c:ptCount val="10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1-4FA8-B5F4-FB785D0E464B}"/>
            </c:ext>
          </c:extLst>
        </c:ser>
        <c:ser>
          <c:idx val="1"/>
          <c:order val="1"/>
          <c:tx>
            <c:strRef>
              <c:f>'Ocean Table Round 2'!$D$6</c:f>
              <c:strCache>
                <c:ptCount val="1"/>
                <c:pt idx="0">
                  <c:v>Fishes requested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'Ocean Table Round 2'!$B$7:$B$16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'Ocean Table Round 2'!$D$7:$D$16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E1-4FA8-B5F4-FB785D0E464B}"/>
            </c:ext>
          </c:extLst>
        </c:ser>
        <c:ser>
          <c:idx val="2"/>
          <c:order val="2"/>
          <c:tx>
            <c:strRef>
              <c:f>'Ocean Table Round 2'!$E$6</c:f>
              <c:strCache>
                <c:ptCount val="1"/>
                <c:pt idx="0">
                  <c:v>Fishes 
given out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'Ocean Table Round 2'!$B$7:$B$16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'Ocean Table Round 2'!$E$7:$E$16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E1-4FA8-B5F4-FB785D0E4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66015"/>
        <c:axId val="366762655"/>
      </c:scatterChart>
      <c:valAx>
        <c:axId val="366766015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2000" b="1"/>
                  <a:t>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762655"/>
        <c:crosses val="autoZero"/>
        <c:crossBetween val="midCat"/>
      </c:valAx>
      <c:valAx>
        <c:axId val="3667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sz="2400" b="1"/>
                  <a:t>Fish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76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4921013663986"/>
          <c:y val="0.87575013574714922"/>
          <c:w val="0.85214487717973364"/>
          <c:h val="0.111895211793926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236186</xdr:colOff>
      <xdr:row>5</xdr:row>
      <xdr:rowOff>1263</xdr:rowOff>
    </xdr:from>
    <xdr:to>
      <xdr:col>18</xdr:col>
      <xdr:colOff>662008</xdr:colOff>
      <xdr:row>16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5F8CAE7-507A-38FB-458F-8579AA48E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236186</xdr:colOff>
      <xdr:row>5</xdr:row>
      <xdr:rowOff>1263</xdr:rowOff>
    </xdr:from>
    <xdr:to>
      <xdr:col>18</xdr:col>
      <xdr:colOff>662008</xdr:colOff>
      <xdr:row>16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FA7ACC1-4930-4B9C-8C4B-BAD9EABD4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14523</xdr:colOff>
      <xdr:row>3</xdr:row>
      <xdr:rowOff>158750</xdr:rowOff>
    </xdr:from>
    <xdr:to>
      <xdr:col>13</xdr:col>
      <xdr:colOff>0</xdr:colOff>
      <xdr:row>19</xdr:row>
      <xdr:rowOff>18528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1B3E6EAB-A7D1-8EA4-5035-86A1C9CA1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7823" y="1079500"/>
          <a:ext cx="6843477" cy="46349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35D66-E612-43CC-894D-FD81776C6C5D}" name="Tabelle1" displayName="Tabelle1" ref="B4:E14" totalsRowShown="0" headerRowDxfId="8" dataDxfId="6" headerRowBorderDxfId="7" tableBorderDxfId="5" totalsRowBorderDxfId="4">
  <autoFilter ref="B4:E14" xr:uid="{45735D66-E612-43CC-894D-FD81776C6C5D}"/>
  <tableColumns count="4">
    <tableColumn id="1" xr3:uid="{E8A6D8B3-CB19-4D22-BC26-12323457EEE9}" name="Runde" dataDxfId="3"/>
    <tableColumn id="2" xr3:uid="{5BECE206-FC41-4715-AEC8-E344A38599FF}" name="Fische angefragt" dataDxfId="2"/>
    <tableColumn id="3" xr3:uid="{BEF51FCA-ED2A-47BC-B66A-5F1C73514A26}" name="Fische erhalten" dataDxfId="1"/>
    <tableColumn id="4" xr3:uid="{EE97C9E0-DEA4-430E-93B3-061FEB2B3E60}" name="Fische gesam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3E69-FE6A-4D31-A0FE-F1DEC0B32CA6}">
  <sheetPr>
    <tabColor theme="5"/>
  </sheetPr>
  <dimension ref="B2:H22"/>
  <sheetViews>
    <sheetView tabSelected="1" zoomScale="80" zoomScaleNormal="55" workbookViewId="0">
      <selection activeCell="F41" sqref="F41"/>
    </sheetView>
  </sheetViews>
  <sheetFormatPr baseColWidth="10" defaultRowHeight="14.5" x14ac:dyDescent="0.35"/>
  <cols>
    <col min="2" max="2" width="12.54296875" bestFit="1" customWidth="1"/>
    <col min="4" max="4" width="16.1796875" customWidth="1"/>
    <col min="5" max="5" width="15.1796875" customWidth="1"/>
    <col min="6" max="6" width="19.81640625" customWidth="1"/>
    <col min="7" max="7" width="19.1796875" customWidth="1"/>
    <col min="8" max="8" width="14.1796875" customWidth="1"/>
  </cols>
  <sheetData>
    <row r="2" spans="2:8" x14ac:dyDescent="0.35">
      <c r="B2" s="15" t="s">
        <v>7</v>
      </c>
      <c r="C2" s="28">
        <v>35</v>
      </c>
      <c r="E2" s="15" t="s">
        <v>11</v>
      </c>
      <c r="F2" s="28">
        <v>10</v>
      </c>
    </row>
    <row r="3" spans="2:8" x14ac:dyDescent="0.35">
      <c r="E3" s="15" t="s">
        <v>15</v>
      </c>
      <c r="F3" s="28">
        <v>5</v>
      </c>
    </row>
    <row r="4" spans="2:8" x14ac:dyDescent="0.35">
      <c r="E4" s="15"/>
      <c r="F4" s="3"/>
    </row>
    <row r="5" spans="2:8" ht="18.5" x14ac:dyDescent="0.45">
      <c r="D5" s="30" t="s">
        <v>17</v>
      </c>
      <c r="E5" s="30" t="s">
        <v>17</v>
      </c>
    </row>
    <row r="6" spans="2:8" s="1" customFormat="1" ht="37" x14ac:dyDescent="0.45">
      <c r="B6" s="16" t="s">
        <v>0</v>
      </c>
      <c r="C6" s="17" t="s">
        <v>6</v>
      </c>
      <c r="D6" s="17" t="s">
        <v>1</v>
      </c>
      <c r="E6" s="17" t="s">
        <v>9</v>
      </c>
      <c r="F6" s="17" t="s">
        <v>5</v>
      </c>
      <c r="G6" s="17" t="s">
        <v>3</v>
      </c>
      <c r="H6" s="18" t="s">
        <v>4</v>
      </c>
    </row>
    <row r="7" spans="2:8" ht="45.5" customHeight="1" x14ac:dyDescent="0.35">
      <c r="B7" s="19">
        <v>1</v>
      </c>
      <c r="C7" s="20">
        <v>30</v>
      </c>
      <c r="D7" s="20"/>
      <c r="E7" s="20"/>
      <c r="F7" s="20" t="str">
        <f t="shared" ref="F7:F16" si="0">IF(ISBLANK(D7),"",C7-E7)</f>
        <v/>
      </c>
      <c r="G7" s="20" t="str">
        <f t="shared" ref="G7:G16" si="1">IF(ISBLANK(D7),"",VLOOKUP(F7,lut_regeneration,2,0))</f>
        <v/>
      </c>
      <c r="H7" s="21" t="str">
        <f t="shared" ref="H7:H16" si="2">IF(ISBLANK(D7),"",SUM(F7:G7))</f>
        <v/>
      </c>
    </row>
    <row r="8" spans="2:8" ht="45.5" customHeight="1" x14ac:dyDescent="0.35">
      <c r="B8" s="22">
        <v>2</v>
      </c>
      <c r="C8" s="23" t="str">
        <f t="shared" ref="C8:C16" si="3">H7</f>
        <v/>
      </c>
      <c r="D8" s="23"/>
      <c r="E8" s="23"/>
      <c r="F8" s="23" t="str">
        <f t="shared" si="0"/>
        <v/>
      </c>
      <c r="G8" s="23" t="str">
        <f t="shared" si="1"/>
        <v/>
      </c>
      <c r="H8" s="24" t="str">
        <f t="shared" si="2"/>
        <v/>
      </c>
    </row>
    <row r="9" spans="2:8" ht="45.5" customHeight="1" x14ac:dyDescent="0.35">
      <c r="B9" s="19">
        <v>3</v>
      </c>
      <c r="C9" s="20" t="str">
        <f t="shared" si="3"/>
        <v/>
      </c>
      <c r="D9" s="20"/>
      <c r="E9" s="20"/>
      <c r="F9" s="20" t="str">
        <f t="shared" si="0"/>
        <v/>
      </c>
      <c r="G9" s="20" t="str">
        <f t="shared" si="1"/>
        <v/>
      </c>
      <c r="H9" s="21" t="str">
        <f t="shared" si="2"/>
        <v/>
      </c>
    </row>
    <row r="10" spans="2:8" ht="45.5" customHeight="1" x14ac:dyDescent="0.35">
      <c r="B10" s="22">
        <v>4</v>
      </c>
      <c r="C10" s="23" t="str">
        <f t="shared" si="3"/>
        <v/>
      </c>
      <c r="D10" s="23"/>
      <c r="E10" s="23"/>
      <c r="F10" s="23" t="str">
        <f t="shared" si="0"/>
        <v/>
      </c>
      <c r="G10" s="23" t="str">
        <f t="shared" si="1"/>
        <v/>
      </c>
      <c r="H10" s="24" t="str">
        <f t="shared" si="2"/>
        <v/>
      </c>
    </row>
    <row r="11" spans="2:8" ht="45.5" customHeight="1" x14ac:dyDescent="0.35">
      <c r="B11" s="19">
        <v>5</v>
      </c>
      <c r="C11" s="20" t="str">
        <f t="shared" si="3"/>
        <v/>
      </c>
      <c r="D11" s="20"/>
      <c r="E11" s="20"/>
      <c r="F11" s="20" t="str">
        <f t="shared" si="0"/>
        <v/>
      </c>
      <c r="G11" s="20" t="str">
        <f t="shared" si="1"/>
        <v/>
      </c>
      <c r="H11" s="21" t="str">
        <f t="shared" si="2"/>
        <v/>
      </c>
    </row>
    <row r="12" spans="2:8" ht="45.5" customHeight="1" x14ac:dyDescent="0.35">
      <c r="B12" s="22">
        <v>6</v>
      </c>
      <c r="C12" s="23" t="str">
        <f t="shared" si="3"/>
        <v/>
      </c>
      <c r="D12" s="23"/>
      <c r="E12" s="23"/>
      <c r="F12" s="23" t="str">
        <f t="shared" si="0"/>
        <v/>
      </c>
      <c r="G12" s="23" t="str">
        <f t="shared" si="1"/>
        <v/>
      </c>
      <c r="H12" s="24" t="str">
        <f t="shared" si="2"/>
        <v/>
      </c>
    </row>
    <row r="13" spans="2:8" ht="45.5" customHeight="1" x14ac:dyDescent="0.35">
      <c r="B13" s="19">
        <v>7</v>
      </c>
      <c r="C13" s="20" t="str">
        <f t="shared" si="3"/>
        <v/>
      </c>
      <c r="D13" s="20"/>
      <c r="E13" s="20"/>
      <c r="F13" s="20" t="str">
        <f t="shared" si="0"/>
        <v/>
      </c>
      <c r="G13" s="20" t="str">
        <f t="shared" si="1"/>
        <v/>
      </c>
      <c r="H13" s="21" t="str">
        <f t="shared" si="2"/>
        <v/>
      </c>
    </row>
    <row r="14" spans="2:8" ht="45.5" customHeight="1" x14ac:dyDescent="0.35">
      <c r="B14" s="22">
        <v>8</v>
      </c>
      <c r="C14" s="23" t="str">
        <f t="shared" si="3"/>
        <v/>
      </c>
      <c r="D14" s="23"/>
      <c r="E14" s="23"/>
      <c r="F14" s="23" t="str">
        <f t="shared" si="0"/>
        <v/>
      </c>
      <c r="G14" s="23" t="str">
        <f t="shared" si="1"/>
        <v/>
      </c>
      <c r="H14" s="24" t="str">
        <f t="shared" si="2"/>
        <v/>
      </c>
    </row>
    <row r="15" spans="2:8" ht="45.5" customHeight="1" x14ac:dyDescent="0.35">
      <c r="B15" s="19">
        <v>9</v>
      </c>
      <c r="C15" s="20" t="str">
        <f t="shared" si="3"/>
        <v/>
      </c>
      <c r="D15" s="20"/>
      <c r="E15" s="20"/>
      <c r="F15" s="20" t="str">
        <f t="shared" si="0"/>
        <v/>
      </c>
      <c r="G15" s="20" t="str">
        <f t="shared" si="1"/>
        <v/>
      </c>
      <c r="H15" s="21" t="str">
        <f t="shared" si="2"/>
        <v/>
      </c>
    </row>
    <row r="16" spans="2:8" ht="45.5" customHeight="1" x14ac:dyDescent="0.35">
      <c r="B16" s="25">
        <v>10</v>
      </c>
      <c r="C16" s="26" t="str">
        <f t="shared" si="3"/>
        <v/>
      </c>
      <c r="D16" s="26"/>
      <c r="E16" s="26"/>
      <c r="F16" s="26" t="str">
        <f t="shared" si="0"/>
        <v/>
      </c>
      <c r="G16" s="26" t="str">
        <f t="shared" si="1"/>
        <v/>
      </c>
      <c r="H16" s="27" t="str">
        <f t="shared" si="2"/>
        <v/>
      </c>
    </row>
    <row r="18" spans="4:5" x14ac:dyDescent="0.35">
      <c r="D18" s="29" t="s">
        <v>13</v>
      </c>
      <c r="E18" s="28">
        <f>SUM(E7:E16)</f>
        <v>0</v>
      </c>
    </row>
    <row r="19" spans="4:5" x14ac:dyDescent="0.35">
      <c r="D19" s="29" t="s">
        <v>10</v>
      </c>
      <c r="E19" s="28">
        <f>25*$F$2</f>
        <v>250</v>
      </c>
    </row>
    <row r="20" spans="4:5" x14ac:dyDescent="0.35">
      <c r="D20" s="29" t="s">
        <v>12</v>
      </c>
      <c r="E20" s="28">
        <f>E18/E19</f>
        <v>0</v>
      </c>
    </row>
    <row r="21" spans="4:5" x14ac:dyDescent="0.35">
      <c r="D21" s="29" t="s">
        <v>14</v>
      </c>
      <c r="E21" s="28">
        <f>E19/$F$3</f>
        <v>50</v>
      </c>
    </row>
    <row r="22" spans="4:5" x14ac:dyDescent="0.35">
      <c r="D22" s="29" t="s">
        <v>16</v>
      </c>
      <c r="E22" s="28">
        <f>E18/$F$3</f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9A8F-BE8D-4ADD-A02A-A6EFE36AA98D}">
  <sheetPr>
    <tabColor theme="9" tint="0.59999389629810485"/>
  </sheetPr>
  <dimension ref="B2:H22"/>
  <sheetViews>
    <sheetView zoomScale="120" zoomScaleNormal="55" workbookViewId="0">
      <selection activeCell="D7" sqref="D7:E16"/>
    </sheetView>
  </sheetViews>
  <sheetFormatPr baseColWidth="10" defaultRowHeight="14.5" x14ac:dyDescent="0.35"/>
  <cols>
    <col min="2" max="2" width="12.54296875" bestFit="1" customWidth="1"/>
    <col min="4" max="4" width="16.1796875" customWidth="1"/>
    <col min="5" max="5" width="15.1796875" customWidth="1"/>
    <col min="6" max="6" width="19.81640625" customWidth="1"/>
    <col min="7" max="7" width="19.1796875" customWidth="1"/>
    <col min="8" max="8" width="14.1796875" customWidth="1"/>
  </cols>
  <sheetData>
    <row r="2" spans="2:8" x14ac:dyDescent="0.35">
      <c r="B2" s="15" t="s">
        <v>7</v>
      </c>
      <c r="C2" s="28">
        <v>40</v>
      </c>
      <c r="E2" s="15" t="s">
        <v>11</v>
      </c>
      <c r="F2" s="28">
        <v>10</v>
      </c>
    </row>
    <row r="3" spans="2:8" x14ac:dyDescent="0.35">
      <c r="E3" s="15" t="s">
        <v>15</v>
      </c>
      <c r="F3" s="28">
        <v>5</v>
      </c>
    </row>
    <row r="4" spans="2:8" x14ac:dyDescent="0.35">
      <c r="E4" s="15"/>
      <c r="F4" s="3"/>
    </row>
    <row r="5" spans="2:8" ht="18.5" x14ac:dyDescent="0.45">
      <c r="D5" s="30" t="s">
        <v>17</v>
      </c>
      <c r="E5" s="30" t="s">
        <v>17</v>
      </c>
    </row>
    <row r="6" spans="2:8" s="1" customFormat="1" ht="37" x14ac:dyDescent="0.45">
      <c r="B6" s="16" t="s">
        <v>0</v>
      </c>
      <c r="C6" s="17" t="s">
        <v>6</v>
      </c>
      <c r="D6" s="17" t="s">
        <v>1</v>
      </c>
      <c r="E6" s="17" t="s">
        <v>9</v>
      </c>
      <c r="F6" s="17" t="s">
        <v>5</v>
      </c>
      <c r="G6" s="17" t="s">
        <v>3</v>
      </c>
      <c r="H6" s="18" t="s">
        <v>4</v>
      </c>
    </row>
    <row r="7" spans="2:8" ht="45.5" customHeight="1" x14ac:dyDescent="0.35">
      <c r="B7" s="19">
        <v>1</v>
      </c>
      <c r="C7" s="20">
        <v>40</v>
      </c>
      <c r="D7" s="20"/>
      <c r="E7" s="20"/>
      <c r="F7" s="20" t="str">
        <f t="shared" ref="F7:F16" si="0">IF(ISBLANK(D7),"",C7-E7)</f>
        <v/>
      </c>
      <c r="G7" s="20" t="str">
        <f t="shared" ref="G7:G16" si="1">IF(ISBLANK(D7),"",VLOOKUP(F7,lut_regeneration,2,0))</f>
        <v/>
      </c>
      <c r="H7" s="21" t="str">
        <f t="shared" ref="H7:H16" si="2">IF(ISBLANK(D7),"",SUM(F7:G7))</f>
        <v/>
      </c>
    </row>
    <row r="8" spans="2:8" ht="45.5" customHeight="1" x14ac:dyDescent="0.35">
      <c r="B8" s="22">
        <v>2</v>
      </c>
      <c r="C8" s="23" t="str">
        <f t="shared" ref="C8:C16" si="3">H7</f>
        <v/>
      </c>
      <c r="D8" s="23"/>
      <c r="E8" s="23"/>
      <c r="F8" s="23" t="str">
        <f t="shared" si="0"/>
        <v/>
      </c>
      <c r="G8" s="23" t="str">
        <f t="shared" si="1"/>
        <v/>
      </c>
      <c r="H8" s="24" t="str">
        <f t="shared" si="2"/>
        <v/>
      </c>
    </row>
    <row r="9" spans="2:8" ht="45.5" customHeight="1" x14ac:dyDescent="0.35">
      <c r="B9" s="19">
        <v>3</v>
      </c>
      <c r="C9" s="20" t="str">
        <f t="shared" si="3"/>
        <v/>
      </c>
      <c r="D9" s="20"/>
      <c r="E9" s="20"/>
      <c r="F9" s="20" t="str">
        <f t="shared" si="0"/>
        <v/>
      </c>
      <c r="G9" s="20" t="str">
        <f t="shared" si="1"/>
        <v/>
      </c>
      <c r="H9" s="21" t="str">
        <f t="shared" si="2"/>
        <v/>
      </c>
    </row>
    <row r="10" spans="2:8" ht="45.5" customHeight="1" x14ac:dyDescent="0.35">
      <c r="B10" s="22">
        <v>4</v>
      </c>
      <c r="C10" s="23" t="str">
        <f t="shared" si="3"/>
        <v/>
      </c>
      <c r="D10" s="23"/>
      <c r="E10" s="23"/>
      <c r="F10" s="23" t="str">
        <f t="shared" si="0"/>
        <v/>
      </c>
      <c r="G10" s="23" t="str">
        <f t="shared" si="1"/>
        <v/>
      </c>
      <c r="H10" s="24" t="str">
        <f t="shared" si="2"/>
        <v/>
      </c>
    </row>
    <row r="11" spans="2:8" ht="45.5" customHeight="1" x14ac:dyDescent="0.35">
      <c r="B11" s="19">
        <v>5</v>
      </c>
      <c r="C11" s="20" t="str">
        <f t="shared" si="3"/>
        <v/>
      </c>
      <c r="D11" s="20"/>
      <c r="E11" s="20"/>
      <c r="F11" s="20" t="str">
        <f t="shared" si="0"/>
        <v/>
      </c>
      <c r="G11" s="20" t="str">
        <f t="shared" si="1"/>
        <v/>
      </c>
      <c r="H11" s="21" t="str">
        <f t="shared" si="2"/>
        <v/>
      </c>
    </row>
    <row r="12" spans="2:8" ht="45.5" customHeight="1" x14ac:dyDescent="0.35">
      <c r="B12" s="22">
        <v>6</v>
      </c>
      <c r="C12" s="23" t="str">
        <f t="shared" si="3"/>
        <v/>
      </c>
      <c r="D12" s="23"/>
      <c r="E12" s="23"/>
      <c r="F12" s="23" t="str">
        <f t="shared" si="0"/>
        <v/>
      </c>
      <c r="G12" s="23" t="str">
        <f t="shared" si="1"/>
        <v/>
      </c>
      <c r="H12" s="24" t="str">
        <f t="shared" si="2"/>
        <v/>
      </c>
    </row>
    <row r="13" spans="2:8" ht="45.5" customHeight="1" x14ac:dyDescent="0.35">
      <c r="B13" s="19">
        <v>7</v>
      </c>
      <c r="C13" s="20" t="str">
        <f t="shared" si="3"/>
        <v/>
      </c>
      <c r="D13" s="20"/>
      <c r="E13" s="20"/>
      <c r="F13" s="20" t="str">
        <f t="shared" si="0"/>
        <v/>
      </c>
      <c r="G13" s="20" t="str">
        <f t="shared" si="1"/>
        <v/>
      </c>
      <c r="H13" s="21" t="str">
        <f t="shared" si="2"/>
        <v/>
      </c>
    </row>
    <row r="14" spans="2:8" ht="45.5" customHeight="1" x14ac:dyDescent="0.35">
      <c r="B14" s="22">
        <v>8</v>
      </c>
      <c r="C14" s="23" t="str">
        <f t="shared" si="3"/>
        <v/>
      </c>
      <c r="D14" s="23"/>
      <c r="E14" s="23"/>
      <c r="F14" s="23" t="str">
        <f t="shared" si="0"/>
        <v/>
      </c>
      <c r="G14" s="23" t="str">
        <f t="shared" si="1"/>
        <v/>
      </c>
      <c r="H14" s="24" t="str">
        <f t="shared" si="2"/>
        <v/>
      </c>
    </row>
    <row r="15" spans="2:8" ht="45.5" customHeight="1" x14ac:dyDescent="0.35">
      <c r="B15" s="19">
        <v>9</v>
      </c>
      <c r="C15" s="20" t="str">
        <f t="shared" si="3"/>
        <v/>
      </c>
      <c r="D15" s="20"/>
      <c r="E15" s="20"/>
      <c r="F15" s="20" t="str">
        <f t="shared" si="0"/>
        <v/>
      </c>
      <c r="G15" s="20" t="str">
        <f t="shared" si="1"/>
        <v/>
      </c>
      <c r="H15" s="21" t="str">
        <f t="shared" si="2"/>
        <v/>
      </c>
    </row>
    <row r="16" spans="2:8" ht="45.5" customHeight="1" x14ac:dyDescent="0.35">
      <c r="B16" s="25">
        <v>10</v>
      </c>
      <c r="C16" s="26" t="str">
        <f t="shared" si="3"/>
        <v/>
      </c>
      <c r="D16" s="26"/>
      <c r="E16" s="26"/>
      <c r="F16" s="26" t="str">
        <f t="shared" si="0"/>
        <v/>
      </c>
      <c r="G16" s="26" t="str">
        <f t="shared" si="1"/>
        <v/>
      </c>
      <c r="H16" s="27" t="str">
        <f t="shared" si="2"/>
        <v/>
      </c>
    </row>
    <row r="18" spans="4:5" x14ac:dyDescent="0.35">
      <c r="D18" s="29" t="s">
        <v>13</v>
      </c>
      <c r="E18" s="28">
        <f>SUM(E7:E16)</f>
        <v>0</v>
      </c>
    </row>
    <row r="19" spans="4:5" x14ac:dyDescent="0.35">
      <c r="D19" s="29" t="s">
        <v>10</v>
      </c>
      <c r="E19" s="28">
        <f>25*$F$2</f>
        <v>250</v>
      </c>
    </row>
    <row r="20" spans="4:5" x14ac:dyDescent="0.35">
      <c r="D20" s="29" t="s">
        <v>12</v>
      </c>
      <c r="E20" s="28">
        <f>E18/E19</f>
        <v>0</v>
      </c>
    </row>
    <row r="21" spans="4:5" x14ac:dyDescent="0.35">
      <c r="D21" s="29" t="s">
        <v>14</v>
      </c>
      <c r="E21" s="28">
        <f>E19/$F$3</f>
        <v>50</v>
      </c>
    </row>
    <row r="22" spans="4:5" x14ac:dyDescent="0.35">
      <c r="D22" s="29" t="s">
        <v>16</v>
      </c>
      <c r="E22" s="28">
        <f>E18/$F$3</f>
        <v>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FF1-CF77-4ABE-8E27-85727C5399BA}">
  <sheetPr>
    <pageSetUpPr fitToPage="1"/>
  </sheetPr>
  <dimension ref="B2:F14"/>
  <sheetViews>
    <sheetView topLeftCell="B1" zoomScaleNormal="100" workbookViewId="0">
      <selection activeCell="H5" sqref="H5"/>
    </sheetView>
  </sheetViews>
  <sheetFormatPr baseColWidth="10" defaultRowHeight="14.5" x14ac:dyDescent="0.35"/>
  <cols>
    <col min="2" max="2" width="19.453125" customWidth="1"/>
    <col min="3" max="5" width="30.81640625" style="3" customWidth="1"/>
    <col min="6" max="6" width="10.90625" style="3"/>
  </cols>
  <sheetData>
    <row r="2" spans="2:6" ht="34.5" x14ac:dyDescent="0.8">
      <c r="B2" s="13" t="s">
        <v>2</v>
      </c>
      <c r="C2" s="14"/>
      <c r="D2" s="14"/>
      <c r="E2" s="14"/>
    </row>
    <row r="3" spans="2:6" ht="48" customHeight="1" x14ac:dyDescent="0.35"/>
    <row r="4" spans="2:6" s="2" customFormat="1" ht="23.5" x14ac:dyDescent="0.5">
      <c r="B4" s="31" t="s">
        <v>18</v>
      </c>
      <c r="C4" s="32" t="s">
        <v>19</v>
      </c>
      <c r="D4" s="32" t="s">
        <v>20</v>
      </c>
      <c r="E4" s="33" t="s">
        <v>21</v>
      </c>
      <c r="F4" s="4"/>
    </row>
    <row r="5" spans="2:6" s="5" customFormat="1" ht="57" customHeight="1" x14ac:dyDescent="0.55000000000000004">
      <c r="B5" s="7">
        <v>1</v>
      </c>
      <c r="C5" s="8"/>
      <c r="D5" s="8"/>
      <c r="E5" s="9"/>
      <c r="F5" s="6"/>
    </row>
    <row r="6" spans="2:6" s="5" customFormat="1" ht="57" customHeight="1" x14ac:dyDescent="0.55000000000000004">
      <c r="B6" s="7">
        <v>2</v>
      </c>
      <c r="C6" s="8"/>
      <c r="D6" s="8"/>
      <c r="E6" s="9"/>
      <c r="F6" s="6"/>
    </row>
    <row r="7" spans="2:6" s="5" customFormat="1" ht="57" customHeight="1" x14ac:dyDescent="0.55000000000000004">
      <c r="B7" s="7">
        <v>3</v>
      </c>
      <c r="C7" s="8"/>
      <c r="D7" s="8"/>
      <c r="E7" s="9"/>
      <c r="F7" s="6"/>
    </row>
    <row r="8" spans="2:6" s="5" customFormat="1" ht="57" customHeight="1" x14ac:dyDescent="0.55000000000000004">
      <c r="B8" s="7">
        <v>4</v>
      </c>
      <c r="C8" s="8"/>
      <c r="D8" s="8"/>
      <c r="E8" s="9"/>
      <c r="F8" s="6"/>
    </row>
    <row r="9" spans="2:6" s="5" customFormat="1" ht="57" customHeight="1" x14ac:dyDescent="0.55000000000000004">
      <c r="B9" s="7">
        <v>5</v>
      </c>
      <c r="C9" s="8"/>
      <c r="D9" s="8"/>
      <c r="E9" s="9"/>
      <c r="F9" s="6"/>
    </row>
    <row r="10" spans="2:6" s="5" customFormat="1" ht="57" customHeight="1" x14ac:dyDescent="0.55000000000000004">
      <c r="B10" s="7">
        <v>6</v>
      </c>
      <c r="C10" s="8"/>
      <c r="D10" s="8"/>
      <c r="E10" s="9"/>
      <c r="F10" s="6"/>
    </row>
    <row r="11" spans="2:6" s="5" customFormat="1" ht="57" customHeight="1" x14ac:dyDescent="0.55000000000000004">
      <c r="B11" s="7">
        <v>7</v>
      </c>
      <c r="C11" s="8"/>
      <c r="D11" s="8"/>
      <c r="E11" s="9"/>
      <c r="F11" s="6"/>
    </row>
    <row r="12" spans="2:6" s="5" customFormat="1" ht="57" customHeight="1" x14ac:dyDescent="0.55000000000000004">
      <c r="B12" s="7">
        <v>8</v>
      </c>
      <c r="C12" s="8"/>
      <c r="D12" s="8"/>
      <c r="E12" s="9"/>
      <c r="F12" s="6"/>
    </row>
    <row r="13" spans="2:6" s="5" customFormat="1" ht="57" customHeight="1" x14ac:dyDescent="0.55000000000000004">
      <c r="B13" s="7">
        <v>9</v>
      </c>
      <c r="C13" s="8"/>
      <c r="D13" s="8"/>
      <c r="E13" s="9"/>
      <c r="F13" s="6"/>
    </row>
    <row r="14" spans="2:6" s="5" customFormat="1" ht="57" customHeight="1" x14ac:dyDescent="0.55000000000000004">
      <c r="B14" s="10">
        <v>10</v>
      </c>
      <c r="C14" s="11"/>
      <c r="D14" s="11"/>
      <c r="E14" s="12"/>
      <c r="F14" s="6"/>
    </row>
  </sheetData>
  <pageMargins left="0.7" right="0.7" top="0.78740157499999996" bottom="0.78740157499999996" header="0.3" footer="0.3"/>
  <pageSetup paperSize="9" scale="6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E044-A073-45AA-B4F8-75D97784AFDF}">
  <sheetPr>
    <pageSetUpPr fitToPage="1"/>
  </sheetPr>
  <dimension ref="B2:M53"/>
  <sheetViews>
    <sheetView workbookViewId="0">
      <selection activeCell="B3" sqref="B3:C53"/>
    </sheetView>
  </sheetViews>
  <sheetFormatPr baseColWidth="10" defaultRowHeight="14.5" x14ac:dyDescent="0.35"/>
  <cols>
    <col min="2" max="2" width="14.08984375" style="3" customWidth="1"/>
    <col min="3" max="3" width="20.1796875" style="3" customWidth="1"/>
    <col min="4" max="4" width="5.54296875" customWidth="1"/>
  </cols>
  <sheetData>
    <row r="2" spans="2:13" ht="34.5" x14ac:dyDescent="0.8">
      <c r="B2" s="34" t="s">
        <v>6</v>
      </c>
      <c r="C2" s="34" t="s">
        <v>8</v>
      </c>
      <c r="E2" s="36" t="s">
        <v>23</v>
      </c>
      <c r="F2" s="36"/>
      <c r="G2" s="36"/>
      <c r="H2" s="36"/>
      <c r="I2" s="36"/>
      <c r="J2" s="36"/>
      <c r="K2" s="36"/>
      <c r="L2" s="36"/>
      <c r="M2" s="36"/>
    </row>
    <row r="3" spans="2:13" ht="23.5" x14ac:dyDescent="0.35">
      <c r="B3" s="8">
        <v>0</v>
      </c>
      <c r="C3" s="8">
        <f t="shared" ref="C3:C28" si="0">B3</f>
        <v>0</v>
      </c>
    </row>
    <row r="4" spans="2:13" ht="23.5" x14ac:dyDescent="0.35">
      <c r="B4" s="8">
        <v>1</v>
      </c>
      <c r="C4" s="8">
        <f t="shared" si="0"/>
        <v>1</v>
      </c>
    </row>
    <row r="5" spans="2:13" ht="23.5" x14ac:dyDescent="0.35">
      <c r="B5" s="8">
        <v>2</v>
      </c>
      <c r="C5" s="8">
        <f t="shared" si="0"/>
        <v>2</v>
      </c>
    </row>
    <row r="6" spans="2:13" ht="23.5" x14ac:dyDescent="0.35">
      <c r="B6" s="8">
        <v>3</v>
      </c>
      <c r="C6" s="8">
        <f t="shared" si="0"/>
        <v>3</v>
      </c>
    </row>
    <row r="7" spans="2:13" ht="23.5" x14ac:dyDescent="0.35">
      <c r="B7" s="8">
        <v>4</v>
      </c>
      <c r="C7" s="8">
        <f t="shared" si="0"/>
        <v>4</v>
      </c>
    </row>
    <row r="8" spans="2:13" ht="23.5" x14ac:dyDescent="0.35">
      <c r="B8" s="8">
        <v>5</v>
      </c>
      <c r="C8" s="8">
        <f t="shared" si="0"/>
        <v>5</v>
      </c>
    </row>
    <row r="9" spans="2:13" ht="23.5" x14ac:dyDescent="0.35">
      <c r="B9" s="8">
        <v>6</v>
      </c>
      <c r="C9" s="8">
        <f t="shared" si="0"/>
        <v>6</v>
      </c>
    </row>
    <row r="10" spans="2:13" ht="23.5" x14ac:dyDescent="0.35">
      <c r="B10" s="8">
        <v>7</v>
      </c>
      <c r="C10" s="8">
        <f t="shared" si="0"/>
        <v>7</v>
      </c>
    </row>
    <row r="11" spans="2:13" ht="23.5" x14ac:dyDescent="0.35">
      <c r="B11" s="8">
        <v>8</v>
      </c>
      <c r="C11" s="8">
        <f t="shared" si="0"/>
        <v>8</v>
      </c>
    </row>
    <row r="12" spans="2:13" ht="23.5" x14ac:dyDescent="0.35">
      <c r="B12" s="8">
        <v>9</v>
      </c>
      <c r="C12" s="8">
        <f t="shared" si="0"/>
        <v>9</v>
      </c>
    </row>
    <row r="13" spans="2:13" ht="23.5" x14ac:dyDescent="0.35">
      <c r="B13" s="8">
        <v>10</v>
      </c>
      <c r="C13" s="8">
        <f t="shared" si="0"/>
        <v>10</v>
      </c>
    </row>
    <row r="14" spans="2:13" ht="23.5" x14ac:dyDescent="0.35">
      <c r="B14" s="8">
        <v>11</v>
      </c>
      <c r="C14" s="8">
        <f t="shared" si="0"/>
        <v>11</v>
      </c>
    </row>
    <row r="15" spans="2:13" ht="23.5" x14ac:dyDescent="0.35">
      <c r="B15" s="8">
        <v>12</v>
      </c>
      <c r="C15" s="8">
        <f t="shared" si="0"/>
        <v>12</v>
      </c>
    </row>
    <row r="16" spans="2:13" ht="23.5" x14ac:dyDescent="0.35">
      <c r="B16" s="8">
        <v>13</v>
      </c>
      <c r="C16" s="8">
        <f t="shared" si="0"/>
        <v>13</v>
      </c>
    </row>
    <row r="17" spans="2:5" ht="23.5" x14ac:dyDescent="0.35">
      <c r="B17" s="8">
        <v>14</v>
      </c>
      <c r="C17" s="8">
        <f t="shared" si="0"/>
        <v>14</v>
      </c>
    </row>
    <row r="18" spans="2:5" ht="23.5" x14ac:dyDescent="0.35">
      <c r="B18" s="8">
        <v>15</v>
      </c>
      <c r="C18" s="8">
        <f t="shared" si="0"/>
        <v>15</v>
      </c>
    </row>
    <row r="19" spans="2:5" ht="23.5" x14ac:dyDescent="0.35">
      <c r="B19" s="8">
        <v>16</v>
      </c>
      <c r="C19" s="8">
        <f t="shared" si="0"/>
        <v>16</v>
      </c>
    </row>
    <row r="20" spans="2:5" ht="23.5" x14ac:dyDescent="0.35">
      <c r="B20" s="8">
        <v>17</v>
      </c>
      <c r="C20" s="8">
        <f t="shared" si="0"/>
        <v>17</v>
      </c>
    </row>
    <row r="21" spans="2:5" ht="23.5" x14ac:dyDescent="0.35">
      <c r="B21" s="8">
        <v>18</v>
      </c>
      <c r="C21" s="8">
        <f t="shared" si="0"/>
        <v>18</v>
      </c>
      <c r="E21" s="35" t="s">
        <v>22</v>
      </c>
    </row>
    <row r="22" spans="2:5" ht="23.5" x14ac:dyDescent="0.35">
      <c r="B22" s="8">
        <v>19</v>
      </c>
      <c r="C22" s="8">
        <f t="shared" si="0"/>
        <v>19</v>
      </c>
    </row>
    <row r="23" spans="2:5" ht="23.5" x14ac:dyDescent="0.35">
      <c r="B23" s="8">
        <v>20</v>
      </c>
      <c r="C23" s="8">
        <f t="shared" si="0"/>
        <v>20</v>
      </c>
    </row>
    <row r="24" spans="2:5" ht="23.5" x14ac:dyDescent="0.35">
      <c r="B24" s="8">
        <v>21</v>
      </c>
      <c r="C24" s="8">
        <f t="shared" si="0"/>
        <v>21</v>
      </c>
    </row>
    <row r="25" spans="2:5" ht="23.5" x14ac:dyDescent="0.35">
      <c r="B25" s="8">
        <v>22</v>
      </c>
      <c r="C25" s="8">
        <f t="shared" si="0"/>
        <v>22</v>
      </c>
    </row>
    <row r="26" spans="2:5" ht="23.5" x14ac:dyDescent="0.35">
      <c r="B26" s="8">
        <v>23</v>
      </c>
      <c r="C26" s="8">
        <f t="shared" si="0"/>
        <v>23</v>
      </c>
    </row>
    <row r="27" spans="2:5" ht="23.5" x14ac:dyDescent="0.35">
      <c r="B27" s="8">
        <v>24</v>
      </c>
      <c r="C27" s="8">
        <f t="shared" si="0"/>
        <v>24</v>
      </c>
    </row>
    <row r="28" spans="2:5" ht="23.5" x14ac:dyDescent="0.35">
      <c r="B28" s="8">
        <v>25</v>
      </c>
      <c r="C28" s="8">
        <f t="shared" si="0"/>
        <v>25</v>
      </c>
    </row>
    <row r="29" spans="2:5" ht="23.5" x14ac:dyDescent="0.35">
      <c r="B29" s="8">
        <v>26</v>
      </c>
      <c r="C29" s="8">
        <f t="shared" ref="C29:C53" si="1">50-B29</f>
        <v>24</v>
      </c>
    </row>
    <row r="30" spans="2:5" ht="23.5" x14ac:dyDescent="0.35">
      <c r="B30" s="8">
        <v>27</v>
      </c>
      <c r="C30" s="8">
        <f t="shared" si="1"/>
        <v>23</v>
      </c>
    </row>
    <row r="31" spans="2:5" ht="23.5" x14ac:dyDescent="0.35">
      <c r="B31" s="8">
        <v>28</v>
      </c>
      <c r="C31" s="8">
        <f t="shared" si="1"/>
        <v>22</v>
      </c>
    </row>
    <row r="32" spans="2:5" ht="23.5" x14ac:dyDescent="0.35">
      <c r="B32" s="8">
        <v>29</v>
      </c>
      <c r="C32" s="8">
        <f t="shared" si="1"/>
        <v>21</v>
      </c>
    </row>
    <row r="33" spans="2:3" ht="23.5" x14ac:dyDescent="0.35">
      <c r="B33" s="8">
        <v>30</v>
      </c>
      <c r="C33" s="8">
        <f t="shared" si="1"/>
        <v>20</v>
      </c>
    </row>
    <row r="34" spans="2:3" ht="23.5" x14ac:dyDescent="0.35">
      <c r="B34" s="8">
        <v>31</v>
      </c>
      <c r="C34" s="8">
        <f t="shared" si="1"/>
        <v>19</v>
      </c>
    </row>
    <row r="35" spans="2:3" ht="23.5" x14ac:dyDescent="0.35">
      <c r="B35" s="8">
        <v>32</v>
      </c>
      <c r="C35" s="8">
        <f t="shared" si="1"/>
        <v>18</v>
      </c>
    </row>
    <row r="36" spans="2:3" ht="23.5" x14ac:dyDescent="0.35">
      <c r="B36" s="8">
        <v>33</v>
      </c>
      <c r="C36" s="8">
        <f t="shared" si="1"/>
        <v>17</v>
      </c>
    </row>
    <row r="37" spans="2:3" ht="23.5" x14ac:dyDescent="0.35">
      <c r="B37" s="8">
        <v>34</v>
      </c>
      <c r="C37" s="8">
        <f t="shared" si="1"/>
        <v>16</v>
      </c>
    </row>
    <row r="38" spans="2:3" ht="23.5" x14ac:dyDescent="0.35">
      <c r="B38" s="8">
        <v>35</v>
      </c>
      <c r="C38" s="8">
        <f t="shared" si="1"/>
        <v>15</v>
      </c>
    </row>
    <row r="39" spans="2:3" ht="23.5" x14ac:dyDescent="0.35">
      <c r="B39" s="8">
        <v>36</v>
      </c>
      <c r="C39" s="8">
        <f t="shared" si="1"/>
        <v>14</v>
      </c>
    </row>
    <row r="40" spans="2:3" ht="23.5" x14ac:dyDescent="0.35">
      <c r="B40" s="8">
        <v>37</v>
      </c>
      <c r="C40" s="8">
        <f t="shared" si="1"/>
        <v>13</v>
      </c>
    </row>
    <row r="41" spans="2:3" ht="23.5" x14ac:dyDescent="0.35">
      <c r="B41" s="8">
        <v>38</v>
      </c>
      <c r="C41" s="8">
        <f t="shared" si="1"/>
        <v>12</v>
      </c>
    </row>
    <row r="42" spans="2:3" ht="23.5" x14ac:dyDescent="0.35">
      <c r="B42" s="8">
        <v>39</v>
      </c>
      <c r="C42" s="8">
        <f t="shared" si="1"/>
        <v>11</v>
      </c>
    </row>
    <row r="43" spans="2:3" ht="23.5" x14ac:dyDescent="0.35">
      <c r="B43" s="8">
        <v>40</v>
      </c>
      <c r="C43" s="8">
        <f t="shared" si="1"/>
        <v>10</v>
      </c>
    </row>
    <row r="44" spans="2:3" ht="23.5" x14ac:dyDescent="0.35">
      <c r="B44" s="8">
        <v>41</v>
      </c>
      <c r="C44" s="8">
        <f t="shared" si="1"/>
        <v>9</v>
      </c>
    </row>
    <row r="45" spans="2:3" ht="23.5" x14ac:dyDescent="0.35">
      <c r="B45" s="8">
        <v>42</v>
      </c>
      <c r="C45" s="8">
        <f t="shared" si="1"/>
        <v>8</v>
      </c>
    </row>
    <row r="46" spans="2:3" ht="23.5" x14ac:dyDescent="0.35">
      <c r="B46" s="8">
        <v>43</v>
      </c>
      <c r="C46" s="8">
        <f t="shared" si="1"/>
        <v>7</v>
      </c>
    </row>
    <row r="47" spans="2:3" ht="23.5" x14ac:dyDescent="0.35">
      <c r="B47" s="8">
        <v>44</v>
      </c>
      <c r="C47" s="8">
        <f t="shared" si="1"/>
        <v>6</v>
      </c>
    </row>
    <row r="48" spans="2:3" ht="23.5" x14ac:dyDescent="0.35">
      <c r="B48" s="8">
        <v>45</v>
      </c>
      <c r="C48" s="8">
        <f t="shared" si="1"/>
        <v>5</v>
      </c>
    </row>
    <row r="49" spans="2:3" ht="23.5" x14ac:dyDescent="0.35">
      <c r="B49" s="8">
        <v>46</v>
      </c>
      <c r="C49" s="8">
        <f t="shared" si="1"/>
        <v>4</v>
      </c>
    </row>
    <row r="50" spans="2:3" ht="23.5" x14ac:dyDescent="0.35">
      <c r="B50" s="8">
        <v>47</v>
      </c>
      <c r="C50" s="8">
        <f t="shared" si="1"/>
        <v>3</v>
      </c>
    </row>
    <row r="51" spans="2:3" ht="23.5" x14ac:dyDescent="0.35">
      <c r="B51" s="8">
        <v>48</v>
      </c>
      <c r="C51" s="8">
        <f t="shared" si="1"/>
        <v>2</v>
      </c>
    </row>
    <row r="52" spans="2:3" ht="23.5" x14ac:dyDescent="0.35">
      <c r="B52" s="8">
        <v>49</v>
      </c>
      <c r="C52" s="8">
        <f t="shared" si="1"/>
        <v>1</v>
      </c>
    </row>
    <row r="53" spans="2:3" ht="23.5" x14ac:dyDescent="0.35">
      <c r="B53" s="8">
        <v>50</v>
      </c>
      <c r="C53" s="8">
        <f t="shared" si="1"/>
        <v>0</v>
      </c>
    </row>
  </sheetData>
  <mergeCells count="1">
    <mergeCell ref="E2:M2"/>
  </mergeCells>
  <pageMargins left="0.70866141732283461" right="0.70866141732283461" top="0.74803149606299213" bottom="0.74803149606299213" header="0.31496062992125984" footer="0.31496062992125984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Ocean Table Round 1</vt:lpstr>
      <vt:lpstr>Ocean Table Round 2</vt:lpstr>
      <vt:lpstr>Team Table</vt:lpstr>
      <vt:lpstr>LUT Regeneration</vt:lpstr>
      <vt:lpstr>'LUT Regeneration'!Druckbereich</vt:lpstr>
      <vt:lpstr>'Team Table'!Druckbereich</vt:lpstr>
      <vt:lpstr>lut_regeneration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Michael Höferl</dc:creator>
  <cp:lastModifiedBy>Karl Michael Höferl</cp:lastModifiedBy>
  <cp:lastPrinted>2026-06-08T12:59:20Z</cp:lastPrinted>
  <dcterms:created xsi:type="dcterms:W3CDTF">2025-09-18T08:53:42Z</dcterms:created>
  <dcterms:modified xsi:type="dcterms:W3CDTF">2026-06-09T08:34:24Z</dcterms:modified>
</cp:coreProperties>
</file>